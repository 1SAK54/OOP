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OOP\Task_2_1_1\benchmark_results\"/>
    </mc:Choice>
  </mc:AlternateContent>
  <xr:revisionPtr revIDLastSave="0" documentId="13_ncr:9_{47F738F1-6417-471F-8BE8-56994DAA7BD8}" xr6:coauthVersionLast="47" xr6:coauthVersionMax="47" xr10:uidLastSave="{00000000-0000-0000-0000-000000000000}"/>
  <bookViews>
    <workbookView xWindow="-120" yWindow="-120" windowWidth="29040" windowHeight="15990" xr2:uid="{521E2EBA-9223-4C67-8BD1-31924B59FD4D}"/>
  </bookViews>
  <sheets>
    <sheet name="large_larg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3" i="1" l="1" a="1"/>
  <c r="L3" i="1" s="1"/>
  <c r="N3" i="1" s="1"/>
  <c r="L4" i="1" a="1"/>
  <c r="L4" i="1" s="1"/>
  <c r="N4" i="1" s="1"/>
  <c r="L5" i="1" a="1"/>
  <c r="L5" i="1" s="1"/>
  <c r="N5" i="1" s="1"/>
  <c r="L6" i="1" a="1"/>
  <c r="L6" i="1" s="1"/>
  <c r="N6" i="1" s="1"/>
  <c r="L7" i="1" a="1"/>
  <c r="L7" i="1" s="1"/>
  <c r="N7" i="1" s="1"/>
  <c r="L2" i="1" a="1"/>
  <c r="L2" i="1" s="1"/>
  <c r="N2" i="1" s="1"/>
  <c r="M3" i="1"/>
  <c r="M4" i="1"/>
  <c r="M5" i="1"/>
  <c r="M6" i="1"/>
  <c r="M7" i="1"/>
  <c r="M2" i="1"/>
  <c r="K3" i="1"/>
  <c r="K4" i="1"/>
  <c r="K5" i="1"/>
  <c r="K6" i="1"/>
  <c r="K7" i="1"/>
  <c r="K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<sst xmlns="http://schemas.openxmlformats.org/spreadsheetml/2006/main" count="108" uniqueCount="21">
  <si>
    <t>scenario</t>
  </si>
  <si>
    <t>algorithm</t>
  </si>
  <si>
    <t>thread_count</t>
  </si>
  <si>
    <t>iteration</t>
  </si>
  <si>
    <t>time_ns</t>
  </si>
  <si>
    <t>time_ms</t>
  </si>
  <si>
    <t>label</t>
  </si>
  <si>
    <t>large_large</t>
  </si>
  <si>
    <t>sequential</t>
  </si>
  <si>
    <t>Sequential</t>
  </si>
  <si>
    <t>threaded</t>
  </si>
  <si>
    <t>Threaded 1</t>
  </si>
  <si>
    <t>Threaded 2</t>
  </si>
  <si>
    <t>Threaded 4</t>
  </si>
  <si>
    <t>Threaded 8</t>
  </si>
  <si>
    <t>parallel_stream</t>
  </si>
  <si>
    <t>Parallel Stream</t>
  </si>
  <si>
    <t>mean_ms</t>
  </si>
  <si>
    <t>stddev</t>
  </si>
  <si>
    <t>n</t>
  </si>
  <si>
    <t>ci90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</si>
</sst>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ru-RU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Среднее время выполнения алгоритмов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large_large!$K$1</c:f>
              <c:strCache>
                <c:ptCount val="1"/>
                <c:pt idx="0">
                  <c:v>mean_ms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errBars>
            <c:errBarType val="both"/>
            <c:errValType val="cust"/>
            <c:noEndCap val="0"/>
            <c:plus>
              <c:numRef>
                <c:f>large_large!$N$2:$N$7</c:f>
                <c:numCache>
                  <c:formatCode>General</c:formatCode>
                  <c:ptCount val="6"/>
                  <c:pt idx="0">
                    <c:v>0.20242000323401849</c:v>
                  </c:pt>
                  <c:pt idx="1">
                    <c:v>0.24250624703204038</c:v>
                  </c:pt>
                  <c:pt idx="2">
                    <c:v>0.32903742326657925</c:v>
                  </c:pt>
                  <c:pt idx="3">
                    <c:v>0.23653838990380624</c:v>
                  </c:pt>
                  <c:pt idx="4">
                    <c:v>8.6588565521464808E-2</c:v>
                  </c:pt>
                  <c:pt idx="5">
                    <c:v>8.4863769146850912E-2</c:v>
                  </c:pt>
                </c:numCache>
              </c:numRef>
            </c:plus>
            <c:minus>
              <c:numRef>
                <c:f>large_large!$N$2:$N$7</c:f>
                <c:numCache>
                  <c:formatCode>General</c:formatCode>
                  <c:ptCount val="6"/>
                  <c:pt idx="0">
                    <c:v>0.20242000323401849</c:v>
                  </c:pt>
                  <c:pt idx="1">
                    <c:v>0.24250624703204038</c:v>
                  </c:pt>
                  <c:pt idx="2">
                    <c:v>0.32903742326657925</c:v>
                  </c:pt>
                  <c:pt idx="3">
                    <c:v>0.23653838990380624</c:v>
                  </c:pt>
                  <c:pt idx="4">
                    <c:v>8.6588565521464808E-2</c:v>
                  </c:pt>
                  <c:pt idx="5">
                    <c:v>8.4863769146850912E-2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lt1">
                    <a:lumMod val="95000"/>
                  </a:schemeClr>
                </a:solidFill>
                <a:round/>
              </a:ln>
              <a:effectLst/>
            </c:spPr>
          </c:errBars>
          <c:cat>
            <c:strRef>
              <c:f>large_large!$J$2:$J$7</c:f>
              <c:strCache>
                <c:ptCount val="6"/>
                <c:pt idx="0">
                  <c:v>Sequential</c:v>
                </c:pt>
                <c:pt idx="1">
                  <c:v>Threaded 1</c:v>
                </c:pt>
                <c:pt idx="2">
                  <c:v>Threaded 2</c:v>
                </c:pt>
                <c:pt idx="3">
                  <c:v>Threaded 4</c:v>
                </c:pt>
                <c:pt idx="4">
                  <c:v>Threaded 8</c:v>
                </c:pt>
                <c:pt idx="5">
                  <c:v>Parallel Stream</c:v>
                </c:pt>
              </c:strCache>
            </c:strRef>
          </c:cat>
          <c:val>
            <c:numRef>
              <c:f>large_large!$K$2:$K$7</c:f>
              <c:numCache>
                <c:formatCode>General</c:formatCode>
                <c:ptCount val="6"/>
                <c:pt idx="0">
                  <c:v>7.5053799999999997</c:v>
                </c:pt>
                <c:pt idx="1">
                  <c:v>7.8067599999999997</c:v>
                </c:pt>
                <c:pt idx="2">
                  <c:v>4.2090199999999998</c:v>
                </c:pt>
                <c:pt idx="3">
                  <c:v>2.50048</c:v>
                </c:pt>
                <c:pt idx="4">
                  <c:v>2.0520399999999999</c:v>
                </c:pt>
                <c:pt idx="5">
                  <c:v>1.17808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21-44AB-A7E2-3F36EBCCF6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8467152"/>
        <c:axId val="18478672"/>
      </c:barChart>
      <c:catAx>
        <c:axId val="184671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Алгоритм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478672"/>
        <c:crosses val="autoZero"/>
        <c:auto val="1"/>
        <c:lblAlgn val="ctr"/>
        <c:lblOffset val="100"/>
        <c:noMultiLvlLbl val="0"/>
      </c:catAx>
      <c:valAx>
        <c:axId val="1847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</a:t>
                </a:r>
                <a:r>
                  <a:rPr lang="en-US"/>
                  <a:t>,</a:t>
                </a:r>
                <a:r>
                  <a:rPr lang="ru-RU" baseline="0"/>
                  <a:t> мс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467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609599</xdr:colOff>
      <xdr:row>7</xdr:row>
      <xdr:rowOff>185737</xdr:rowOff>
    </xdr:from>
    <xdr:to>
      <xdr:col>16</xdr:col>
      <xdr:colOff>304799</xdr:colOff>
      <xdr:row>22</xdr:row>
      <xdr:rowOff>71437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1F27F5E-5353-E45B-77A3-B770CCCC88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C5AAE-041E-430C-AC79-F8F979C8F5BC}">
  <dimension ref="A1:N31"/>
  <sheetViews>
    <sheetView tabSelected="1" workbookViewId="0">
      <selection activeCell="U10" sqref="U10"/>
    </sheetView>
  </sheetViews>
  <sheetFormatPr defaultRowHeight="15" x14ac:dyDescent="0.25"/>
  <cols>
    <col min="1" max="2" width="9.140625" customWidth="1"/>
    <col min="5" max="7" width="9.140625" customWidth="1"/>
    <col min="9" max="10" width="9.140625" customWidth="1"/>
    <col min="13" max="13" width="9.1406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J1" t="s">
        <v>6</v>
      </c>
      <c r="K1" t="s">
        <v>17</v>
      </c>
      <c r="L1" t="s">
        <v>18</v>
      </c>
      <c r="M1" s="1" t="s">
        <v>19</v>
      </c>
      <c r="N1" s="1" t="s">
        <v>20</v>
      </c>
    </row>
    <row r="2" spans="1:14" x14ac:dyDescent="0.25">
      <c r="A2" t="s">
        <v>7</v>
      </c>
      <c r="B2" t="s">
        <v>8</v>
      </c>
      <c r="C2">
        <v>1</v>
      </c>
      <c r="D2">
        <v>1</v>
      </c>
      <c r="E2">
        <v>7635900</v>
      </c>
      <c r="F2">
        <v>7.6359000000000004</v>
      </c>
      <c r="G2" t="s">
        <v>9</v>
      </c>
      <c r="J2" t="s">
        <v>9</v>
      </c>
      <c r="K2">
        <f>AVERAGEIF($G:$G,J2,$F:$F)</f>
        <v>7.5053799999999997</v>
      </c>
      <c r="L2" cm="1">
        <f t="array" ref="L2">_xlfn.STDEV.S(_xlfn._xlws.FILTER($F:$F,$G:$G=J2))</f>
        <v>0.27515190713494991</v>
      </c>
      <c r="M2" s="1">
        <f>COUNTIF($G:$G,J2)</f>
        <v>5</v>
      </c>
      <c r="N2" s="1">
        <f>1.645*L2/SQRT(M2)</f>
        <v>0.20242000323401849</v>
      </c>
    </row>
    <row r="3" spans="1:14" x14ac:dyDescent="0.25">
      <c r="A3" t="s">
        <v>7</v>
      </c>
      <c r="B3" t="s">
        <v>10</v>
      </c>
      <c r="C3">
        <v>1</v>
      </c>
      <c r="D3">
        <v>1</v>
      </c>
      <c r="E3">
        <v>8142300</v>
      </c>
      <c r="F3">
        <v>8.1423000000000005</v>
      </c>
      <c r="G3" t="s">
        <v>11</v>
      </c>
      <c r="J3" t="s">
        <v>11</v>
      </c>
      <c r="K3">
        <f t="shared" ref="K3:K7" si="0">AVERAGEIF($G:$G,J3,$F:$F)</f>
        <v>7.8067599999999997</v>
      </c>
      <c r="L3" cm="1">
        <f t="array" ref="L3">_xlfn.STDEV.S(_xlfn._xlws.FILTER($F:$F,$G:$G=J3))</f>
        <v>0.3296416129677805</v>
      </c>
      <c r="M3" s="1">
        <f t="shared" ref="M3:M7" si="1">COUNTIF($G:$G,J3)</f>
        <v>5</v>
      </c>
      <c r="N3" s="1">
        <f t="shared" ref="N3:N7" si="2">1.645*L3/SQRT(M3)</f>
        <v>0.24250624703204038</v>
      </c>
    </row>
    <row r="4" spans="1:14" x14ac:dyDescent="0.25">
      <c r="A4" t="s">
        <v>7</v>
      </c>
      <c r="B4" t="s">
        <v>10</v>
      </c>
      <c r="C4">
        <v>2</v>
      </c>
      <c r="D4">
        <v>1</v>
      </c>
      <c r="E4">
        <v>4511800</v>
      </c>
      <c r="F4">
        <v>4.5118</v>
      </c>
      <c r="G4" t="s">
        <v>12</v>
      </c>
      <c r="J4" t="s">
        <v>12</v>
      </c>
      <c r="K4">
        <f t="shared" si="0"/>
        <v>4.2090199999999998</v>
      </c>
      <c r="L4" cm="1">
        <f t="array" ref="L4">_xlfn.STDEV.S(_xlfn._xlws.FILTER($F:$F,$G:$G=J4))</f>
        <v>0.44726446538932657</v>
      </c>
      <c r="M4" s="1">
        <f t="shared" si="1"/>
        <v>5</v>
      </c>
      <c r="N4" s="1">
        <f t="shared" si="2"/>
        <v>0.32903742326657925</v>
      </c>
    </row>
    <row r="5" spans="1:14" x14ac:dyDescent="0.25">
      <c r="A5" t="s">
        <v>7</v>
      </c>
      <c r="B5" t="s">
        <v>10</v>
      </c>
      <c r="C5">
        <v>4</v>
      </c>
      <c r="D5">
        <v>1</v>
      </c>
      <c r="E5">
        <v>2578300</v>
      </c>
      <c r="F5">
        <v>2.5783</v>
      </c>
      <c r="G5" t="s">
        <v>13</v>
      </c>
      <c r="J5" t="s">
        <v>13</v>
      </c>
      <c r="K5">
        <f t="shared" si="0"/>
        <v>2.50048</v>
      </c>
      <c r="L5" cm="1">
        <f t="array" ref="L5">_xlfn.STDEV.S(_xlfn._xlws.FILTER($F:$F,$G:$G=J5))</f>
        <v>0.32152943411140472</v>
      </c>
      <c r="M5" s="1">
        <f t="shared" si="1"/>
        <v>5</v>
      </c>
      <c r="N5" s="1">
        <f t="shared" si="2"/>
        <v>0.23653838990380624</v>
      </c>
    </row>
    <row r="6" spans="1:14" x14ac:dyDescent="0.25">
      <c r="A6" t="s">
        <v>7</v>
      </c>
      <c r="B6" t="s">
        <v>10</v>
      </c>
      <c r="C6">
        <v>8</v>
      </c>
      <c r="D6">
        <v>1</v>
      </c>
      <c r="E6">
        <v>1927900</v>
      </c>
      <c r="F6">
        <v>1.9278999999999999</v>
      </c>
      <c r="G6" t="s">
        <v>14</v>
      </c>
      <c r="J6" t="s">
        <v>14</v>
      </c>
      <c r="K6">
        <f t="shared" si="0"/>
        <v>2.0520399999999999</v>
      </c>
      <c r="L6" cm="1">
        <f t="array" ref="L6">_xlfn.STDEV.S(_xlfn._xlws.FILTER($F:$F,$G:$G=J6))</f>
        <v>0.11770086235877801</v>
      </c>
      <c r="M6" s="1">
        <f t="shared" si="1"/>
        <v>5</v>
      </c>
      <c r="N6" s="1">
        <f t="shared" si="2"/>
        <v>8.6588565521464808E-2</v>
      </c>
    </row>
    <row r="7" spans="1:14" x14ac:dyDescent="0.25">
      <c r="A7" t="s">
        <v>7</v>
      </c>
      <c r="B7" t="s">
        <v>15</v>
      </c>
      <c r="C7">
        <v>8</v>
      </c>
      <c r="D7">
        <v>1</v>
      </c>
      <c r="E7">
        <v>1186100</v>
      </c>
      <c r="F7">
        <v>1.1860999999999999</v>
      </c>
      <c r="G7" t="s">
        <v>16</v>
      </c>
      <c r="J7" t="s">
        <v>16</v>
      </c>
      <c r="K7">
        <f t="shared" si="0"/>
        <v>1.17808</v>
      </c>
      <c r="L7" cm="1">
        <f t="array" ref="L7">_xlfn.STDEV.S(_xlfn._xlws.FILTER($F:$F,$G:$G=J7))</f>
        <v>0.11535632622444254</v>
      </c>
      <c r="M7" s="1">
        <f t="shared" si="1"/>
        <v>5</v>
      </c>
      <c r="N7" s="1">
        <f t="shared" si="2"/>
        <v>8.4863769146850912E-2</v>
      </c>
    </row>
    <row r="8" spans="1:14" x14ac:dyDescent="0.25">
      <c r="A8" t="s">
        <v>7</v>
      </c>
      <c r="B8" t="s">
        <v>8</v>
      </c>
      <c r="C8">
        <v>1</v>
      </c>
      <c r="D8">
        <v>2</v>
      </c>
      <c r="E8">
        <v>7679100</v>
      </c>
      <c r="F8">
        <v>7.6791</v>
      </c>
      <c r="G8" t="s">
        <v>9</v>
      </c>
    </row>
    <row r="9" spans="1:14" x14ac:dyDescent="0.25">
      <c r="A9" t="s">
        <v>7</v>
      </c>
      <c r="B9" t="s">
        <v>10</v>
      </c>
      <c r="C9">
        <v>1</v>
      </c>
      <c r="D9">
        <v>2</v>
      </c>
      <c r="E9">
        <v>7982400</v>
      </c>
      <c r="F9">
        <v>7.9824000000000002</v>
      </c>
      <c r="G9" t="s">
        <v>11</v>
      </c>
    </row>
    <row r="10" spans="1:14" x14ac:dyDescent="0.25">
      <c r="A10" t="s">
        <v>7</v>
      </c>
      <c r="B10" t="s">
        <v>10</v>
      </c>
      <c r="C10">
        <v>2</v>
      </c>
      <c r="D10">
        <v>2</v>
      </c>
      <c r="E10">
        <v>4592800</v>
      </c>
      <c r="F10">
        <v>4.5928000000000004</v>
      </c>
      <c r="G10" t="s">
        <v>12</v>
      </c>
    </row>
    <row r="11" spans="1:14" x14ac:dyDescent="0.25">
      <c r="A11" t="s">
        <v>7</v>
      </c>
      <c r="B11" t="s">
        <v>10</v>
      </c>
      <c r="C11">
        <v>4</v>
      </c>
      <c r="D11">
        <v>2</v>
      </c>
      <c r="E11">
        <v>2585700</v>
      </c>
      <c r="F11">
        <v>2.5857000000000001</v>
      </c>
      <c r="G11" t="s">
        <v>13</v>
      </c>
    </row>
    <row r="12" spans="1:14" x14ac:dyDescent="0.25">
      <c r="A12" t="s">
        <v>7</v>
      </c>
      <c r="B12" t="s">
        <v>10</v>
      </c>
      <c r="C12">
        <v>8</v>
      </c>
      <c r="D12">
        <v>2</v>
      </c>
      <c r="E12">
        <v>1920400</v>
      </c>
      <c r="F12">
        <v>1.9204000000000001</v>
      </c>
      <c r="G12" t="s">
        <v>14</v>
      </c>
    </row>
    <row r="13" spans="1:14" x14ac:dyDescent="0.25">
      <c r="A13" t="s">
        <v>7</v>
      </c>
      <c r="B13" t="s">
        <v>15</v>
      </c>
      <c r="C13">
        <v>8</v>
      </c>
      <c r="D13">
        <v>2</v>
      </c>
      <c r="E13">
        <v>1348000</v>
      </c>
      <c r="F13">
        <v>1.3480000000000001</v>
      </c>
      <c r="G13" t="s">
        <v>16</v>
      </c>
    </row>
    <row r="14" spans="1:14" x14ac:dyDescent="0.25">
      <c r="A14" t="s">
        <v>7</v>
      </c>
      <c r="B14" t="s">
        <v>8</v>
      </c>
      <c r="C14">
        <v>1</v>
      </c>
      <c r="D14">
        <v>3</v>
      </c>
      <c r="E14">
        <v>7593300</v>
      </c>
      <c r="F14">
        <v>7.5933000000000002</v>
      </c>
      <c r="G14" t="s">
        <v>9</v>
      </c>
    </row>
    <row r="15" spans="1:14" x14ac:dyDescent="0.25">
      <c r="A15" t="s">
        <v>7</v>
      </c>
      <c r="B15" t="s">
        <v>10</v>
      </c>
      <c r="C15">
        <v>1</v>
      </c>
      <c r="D15">
        <v>3</v>
      </c>
      <c r="E15">
        <v>7961600</v>
      </c>
      <c r="F15">
        <v>7.9615999999999998</v>
      </c>
      <c r="G15" t="s">
        <v>11</v>
      </c>
    </row>
    <row r="16" spans="1:14" x14ac:dyDescent="0.25">
      <c r="A16" t="s">
        <v>7</v>
      </c>
      <c r="B16" t="s">
        <v>10</v>
      </c>
      <c r="C16">
        <v>2</v>
      </c>
      <c r="D16">
        <v>3</v>
      </c>
      <c r="E16">
        <v>4392200</v>
      </c>
      <c r="F16">
        <v>4.3921999999999999</v>
      </c>
      <c r="G16" t="s">
        <v>12</v>
      </c>
    </row>
    <row r="17" spans="1:7" x14ac:dyDescent="0.25">
      <c r="A17" t="s">
        <v>7</v>
      </c>
      <c r="B17" t="s">
        <v>10</v>
      </c>
      <c r="C17">
        <v>4</v>
      </c>
      <c r="D17">
        <v>3</v>
      </c>
      <c r="E17">
        <v>2665200</v>
      </c>
      <c r="F17">
        <v>2.6652</v>
      </c>
      <c r="G17" t="s">
        <v>13</v>
      </c>
    </row>
    <row r="18" spans="1:7" x14ac:dyDescent="0.25">
      <c r="A18" t="s">
        <v>7</v>
      </c>
      <c r="B18" t="s">
        <v>10</v>
      </c>
      <c r="C18">
        <v>8</v>
      </c>
      <c r="D18">
        <v>3</v>
      </c>
      <c r="E18">
        <v>2152600</v>
      </c>
      <c r="F18">
        <v>2.1526000000000001</v>
      </c>
      <c r="G18" t="s">
        <v>14</v>
      </c>
    </row>
    <row r="19" spans="1:7" x14ac:dyDescent="0.25">
      <c r="A19" t="s">
        <v>7</v>
      </c>
      <c r="B19" t="s">
        <v>15</v>
      </c>
      <c r="C19">
        <v>8</v>
      </c>
      <c r="D19">
        <v>3</v>
      </c>
      <c r="E19">
        <v>1208500</v>
      </c>
      <c r="F19">
        <v>1.2084999999999999</v>
      </c>
      <c r="G19" t="s">
        <v>16</v>
      </c>
    </row>
    <row r="20" spans="1:7" x14ac:dyDescent="0.25">
      <c r="A20" t="s">
        <v>7</v>
      </c>
      <c r="B20" t="s">
        <v>8</v>
      </c>
      <c r="C20">
        <v>1</v>
      </c>
      <c r="D20">
        <v>4</v>
      </c>
      <c r="E20">
        <v>7601700</v>
      </c>
      <c r="F20">
        <v>7.6017000000000001</v>
      </c>
      <c r="G20" t="s">
        <v>9</v>
      </c>
    </row>
    <row r="21" spans="1:7" x14ac:dyDescent="0.25">
      <c r="A21" t="s">
        <v>7</v>
      </c>
      <c r="B21" t="s">
        <v>10</v>
      </c>
      <c r="C21">
        <v>1</v>
      </c>
      <c r="D21">
        <v>4</v>
      </c>
      <c r="E21">
        <v>7624500</v>
      </c>
      <c r="F21">
        <v>7.6245000000000003</v>
      </c>
      <c r="G21" t="s">
        <v>11</v>
      </c>
    </row>
    <row r="22" spans="1:7" x14ac:dyDescent="0.25">
      <c r="A22" t="s">
        <v>7</v>
      </c>
      <c r="B22" t="s">
        <v>10</v>
      </c>
      <c r="C22">
        <v>2</v>
      </c>
      <c r="D22">
        <v>4</v>
      </c>
      <c r="E22">
        <v>4047500</v>
      </c>
      <c r="F22">
        <v>4.0475000000000003</v>
      </c>
      <c r="G22" t="s">
        <v>12</v>
      </c>
    </row>
    <row r="23" spans="1:7" x14ac:dyDescent="0.25">
      <c r="A23" t="s">
        <v>7</v>
      </c>
      <c r="B23" t="s">
        <v>10</v>
      </c>
      <c r="C23">
        <v>4</v>
      </c>
      <c r="D23">
        <v>4</v>
      </c>
      <c r="E23">
        <v>2736200</v>
      </c>
      <c r="F23">
        <v>2.7362000000000002</v>
      </c>
      <c r="G23" t="s">
        <v>13</v>
      </c>
    </row>
    <row r="24" spans="1:7" x14ac:dyDescent="0.25">
      <c r="A24" t="s">
        <v>7</v>
      </c>
      <c r="B24" t="s">
        <v>10</v>
      </c>
      <c r="C24">
        <v>8</v>
      </c>
      <c r="D24">
        <v>4</v>
      </c>
      <c r="E24">
        <v>2145700</v>
      </c>
      <c r="F24">
        <v>2.1457000000000002</v>
      </c>
      <c r="G24" t="s">
        <v>14</v>
      </c>
    </row>
    <row r="25" spans="1:7" x14ac:dyDescent="0.25">
      <c r="A25" t="s">
        <v>7</v>
      </c>
      <c r="B25" t="s">
        <v>15</v>
      </c>
      <c r="C25">
        <v>8</v>
      </c>
      <c r="D25">
        <v>4</v>
      </c>
      <c r="E25">
        <v>1045100</v>
      </c>
      <c r="F25">
        <v>1.0450999999999999</v>
      </c>
      <c r="G25" t="s">
        <v>16</v>
      </c>
    </row>
    <row r="26" spans="1:7" x14ac:dyDescent="0.25">
      <c r="A26" t="s">
        <v>7</v>
      </c>
      <c r="B26" t="s">
        <v>8</v>
      </c>
      <c r="C26">
        <v>1</v>
      </c>
      <c r="D26">
        <v>5</v>
      </c>
      <c r="E26">
        <v>7016900</v>
      </c>
      <c r="F26">
        <v>7.0168999999999997</v>
      </c>
      <c r="G26" t="s">
        <v>9</v>
      </c>
    </row>
    <row r="27" spans="1:7" x14ac:dyDescent="0.25">
      <c r="A27" t="s">
        <v>7</v>
      </c>
      <c r="B27" t="s">
        <v>10</v>
      </c>
      <c r="C27">
        <v>1</v>
      </c>
      <c r="D27">
        <v>5</v>
      </c>
      <c r="E27">
        <v>7323000</v>
      </c>
      <c r="F27">
        <v>7.3230000000000004</v>
      </c>
      <c r="G27" t="s">
        <v>11</v>
      </c>
    </row>
    <row r="28" spans="1:7" x14ac:dyDescent="0.25">
      <c r="A28" t="s">
        <v>7</v>
      </c>
      <c r="B28" t="s">
        <v>10</v>
      </c>
      <c r="C28">
        <v>2</v>
      </c>
      <c r="D28">
        <v>5</v>
      </c>
      <c r="E28">
        <v>3500800</v>
      </c>
      <c r="F28">
        <v>3.5007999999999999</v>
      </c>
      <c r="G28" t="s">
        <v>12</v>
      </c>
    </row>
    <row r="29" spans="1:7" x14ac:dyDescent="0.25">
      <c r="A29" t="s">
        <v>7</v>
      </c>
      <c r="B29" t="s">
        <v>10</v>
      </c>
      <c r="C29">
        <v>4</v>
      </c>
      <c r="D29">
        <v>5</v>
      </c>
      <c r="E29">
        <v>1937000</v>
      </c>
      <c r="F29">
        <v>1.9370000000000001</v>
      </c>
      <c r="G29" t="s">
        <v>13</v>
      </c>
    </row>
    <row r="30" spans="1:7" x14ac:dyDescent="0.25">
      <c r="A30" t="s">
        <v>7</v>
      </c>
      <c r="B30" t="s">
        <v>10</v>
      </c>
      <c r="C30">
        <v>8</v>
      </c>
      <c r="D30">
        <v>5</v>
      </c>
      <c r="E30">
        <v>2113600</v>
      </c>
      <c r="F30">
        <v>2.1135999999999999</v>
      </c>
      <c r="G30" t="s">
        <v>14</v>
      </c>
    </row>
    <row r="31" spans="1:7" x14ac:dyDescent="0.25">
      <c r="A31" t="s">
        <v>7</v>
      </c>
      <c r="B31" t="s">
        <v>15</v>
      </c>
      <c r="C31">
        <v>8</v>
      </c>
      <c r="D31">
        <v>5</v>
      </c>
      <c r="E31">
        <v>1102700</v>
      </c>
      <c r="F31">
        <v>1.1027</v>
      </c>
      <c r="G31" t="s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large_large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Миша Ворона</cp:lastModifiedBy>
  <dcterms:created xsi:type="dcterms:W3CDTF">2026-03-30T18:51:17Z</dcterms:created>
  <dcterms:modified xsi:type="dcterms:W3CDTF">2026-03-30T19:00:12Z</dcterms:modified>
</cp:coreProperties>
</file>